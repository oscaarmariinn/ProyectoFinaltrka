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maca\Downloads\"/>
    </mc:Choice>
  </mc:AlternateContent>
  <xr:revisionPtr revIDLastSave="0" documentId="8_{9C731934-4E64-45E5-BED9-E1D85DDCC11F}" xr6:coauthVersionLast="47" xr6:coauthVersionMax="47" xr10:uidLastSave="{00000000-0000-0000-0000-000000000000}"/>
  <bookViews>
    <workbookView xWindow="-120" yWindow="-120" windowWidth="20730" windowHeight="11040" activeTab="5" xr2:uid="{37D2847D-4693-412B-8EE3-93C74190A7D4}"/>
  </bookViews>
  <sheets>
    <sheet name="Plantilla Personal" sheetId="1" r:id="rId1"/>
    <sheet name="Plantilla Presupuesto" sheetId="2" r:id="rId2"/>
    <sheet name="Plantilla Tesorería" sheetId="3" r:id="rId3"/>
    <sheet name="Plantilla Balance" sheetId="4" r:id="rId4"/>
    <sheet name="Presupuesto Anual" sheetId="5" r:id="rId5"/>
    <sheet name="Presupuesto + Cuenta EXPLOTACIÓ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8" i="2" l="1"/>
  <c r="F8" i="6"/>
  <c r="E8" i="6"/>
  <c r="C8" i="6"/>
  <c r="D8" i="6" s="1"/>
  <c r="G8" i="6" s="1"/>
  <c r="B6" i="6"/>
  <c r="B10" i="6" s="1"/>
  <c r="E5" i="6"/>
  <c r="C5" i="6"/>
  <c r="F5" i="6" s="1"/>
  <c r="F4" i="6"/>
  <c r="E4" i="6"/>
  <c r="C4" i="6"/>
  <c r="D4" i="6" s="1"/>
  <c r="G4" i="6" s="1"/>
  <c r="E3" i="6"/>
  <c r="E6" i="6" s="1"/>
  <c r="C3" i="6"/>
  <c r="D3" i="6" s="1"/>
  <c r="C8" i="5"/>
  <c r="B6" i="5"/>
  <c r="B10" i="5" s="1"/>
  <c r="A12" i="5" s="1"/>
  <c r="C5" i="5"/>
  <c r="C4" i="5"/>
  <c r="C6" i="5" s="1"/>
  <c r="C10" i="5" s="1"/>
  <c r="C3" i="5"/>
  <c r="E7" i="4"/>
  <c r="E5" i="4"/>
  <c r="H4" i="4"/>
  <c r="H6" i="4" s="1"/>
  <c r="B2" i="4" s="1"/>
  <c r="B7" i="4" s="1"/>
  <c r="D9" i="4" s="1"/>
  <c r="D6" i="3"/>
  <c r="C6" i="3"/>
  <c r="B5" i="3"/>
  <c r="B7" i="3" s="1"/>
  <c r="D4" i="3"/>
  <c r="C4" i="3"/>
  <c r="D3" i="3"/>
  <c r="C3" i="3"/>
  <c r="D2" i="3"/>
  <c r="C2" i="3"/>
  <c r="G38" i="2"/>
  <c r="B28" i="2"/>
  <c r="B22" i="2"/>
  <c r="G21" i="2"/>
  <c r="D21" i="2"/>
  <c r="G20" i="2"/>
  <c r="D20" i="2"/>
  <c r="G19" i="2"/>
  <c r="D19" i="2"/>
  <c r="D18" i="2"/>
  <c r="G18" i="2" s="1"/>
  <c r="G17" i="2"/>
  <c r="D17" i="2"/>
  <c r="G16" i="2"/>
  <c r="D16" i="2"/>
  <c r="G15" i="2"/>
  <c r="D15" i="2"/>
  <c r="G14" i="2"/>
  <c r="D14" i="2"/>
  <c r="G13" i="2"/>
  <c r="D13" i="2"/>
  <c r="G12" i="2"/>
  <c r="D12" i="2"/>
  <c r="F9" i="2"/>
  <c r="D9" i="2"/>
  <c r="B9" i="2"/>
  <c r="G8" i="2"/>
  <c r="E8" i="2"/>
  <c r="C8" i="2"/>
  <c r="E7" i="2"/>
  <c r="G7" i="2" s="1"/>
  <c r="G9" i="2" s="1"/>
  <c r="C7" i="2"/>
  <c r="G6" i="2"/>
  <c r="E6" i="2"/>
  <c r="C6" i="2"/>
  <c r="G5" i="2"/>
  <c r="E5" i="2"/>
  <c r="C5" i="2"/>
  <c r="B9" i="1"/>
  <c r="C2" i="1"/>
  <c r="C8" i="1" s="1"/>
  <c r="D8" i="1" s="1"/>
  <c r="D5" i="3" l="1"/>
  <c r="C5" i="3"/>
  <c r="G3" i="6"/>
  <c r="E10" i="6"/>
  <c r="C6" i="6"/>
  <c r="C10" i="6" s="1"/>
  <c r="D10" i="6" s="1"/>
  <c r="F3" i="6"/>
  <c r="F6" i="6" s="1"/>
  <c r="F10" i="6" s="1"/>
  <c r="G10" i="6" s="1"/>
  <c r="D5" i="6"/>
  <c r="G5" i="6" s="1"/>
  <c r="B8" i="3"/>
  <c r="D7" i="3"/>
  <c r="C7" i="3"/>
  <c r="D10" i="3"/>
  <c r="G22" i="2"/>
  <c r="G30" i="2"/>
  <c r="C5" i="1"/>
  <c r="D5" i="1" s="1"/>
  <c r="C6" i="1"/>
  <c r="D6" i="1" s="1"/>
  <c r="C7" i="1"/>
  <c r="D7" i="1" s="1"/>
  <c r="D6" i="6" l="1"/>
  <c r="G6" i="6"/>
  <c r="G37" i="2"/>
  <c r="G34" i="2"/>
</calcChain>
</file>

<file path=xl/sharedStrings.xml><?xml version="1.0" encoding="utf-8"?>
<sst xmlns="http://schemas.openxmlformats.org/spreadsheetml/2006/main" count="130" uniqueCount="90">
  <si>
    <t>Horas anuales</t>
  </si>
  <si>
    <t>Meses</t>
  </si>
  <si>
    <t>Horas mes</t>
  </si>
  <si>
    <t>PERSONAL</t>
  </si>
  <si>
    <t>COSTE MENSUAL</t>
  </si>
  <si>
    <t>HORAS MES</t>
  </si>
  <si>
    <t>COSTE HORA</t>
  </si>
  <si>
    <t>Programador/a Backend</t>
  </si>
  <si>
    <t>Programador/a Frontend</t>
  </si>
  <si>
    <t>TOTAL COSTE PERSONAL</t>
  </si>
  <si>
    <t>COSTE POR EMPLEADO MES</t>
  </si>
  <si>
    <t>Plazo ejecución en meses</t>
  </si>
  <si>
    <t>Plazo (meses)</t>
  </si>
  <si>
    <t>COSTE DESARROLLO (PERSONAL)</t>
  </si>
  <si>
    <t>HORAS</t>
  </si>
  <si>
    <t>PLAZO</t>
  </si>
  <si>
    <t>Nº EMPLEADOS</t>
  </si>
  <si>
    <t>MESES</t>
  </si>
  <si>
    <t>COSTE MENSUAL PERS.</t>
  </si>
  <si>
    <t>COSTE PERSON. PROYECTO</t>
  </si>
  <si>
    <t>COSTES FIJOS</t>
  </si>
  <si>
    <t>COSTE FIJO MENSUAL</t>
  </si>
  <si>
    <t>COSTE FIJO PROYECTO</t>
  </si>
  <si>
    <t>Internet</t>
  </si>
  <si>
    <t>Suministros (agua y luz)</t>
  </si>
  <si>
    <t>Alquiler de la oficina</t>
  </si>
  <si>
    <t>Gastos de la gestoría</t>
  </si>
  <si>
    <t>Impuestos</t>
  </si>
  <si>
    <t>Seguros</t>
  </si>
  <si>
    <t>Revisión de protección de datos</t>
  </si>
  <si>
    <t>Licencias</t>
  </si>
  <si>
    <t>Hosting + Dominio</t>
  </si>
  <si>
    <t>Marketing lanzamiento</t>
  </si>
  <si>
    <t>TOTAL COSTES FIJOS</t>
  </si>
  <si>
    <t>COSTES PUBLICIDAD VARIABLES</t>
  </si>
  <si>
    <t>INVERS. PUBLIC. UNIDAD</t>
  </si>
  <si>
    <t>NÚMERO UNIDADES</t>
  </si>
  <si>
    <t>COSTE VARIABLE PUBLICIDAD</t>
  </si>
  <si>
    <t>Publicidad online (Facebook, Instagram, Google...)</t>
  </si>
  <si>
    <t>Publicidad en medios (prensa, radio...)</t>
  </si>
  <si>
    <t>Participación en eventos y ferias</t>
  </si>
  <si>
    <t>TOTAL COSTES VARIABLES PUBLICIDAD</t>
  </si>
  <si>
    <t>TOTAL GASTO PREVISTO 1 mes</t>
  </si>
  <si>
    <t>PRECIO DE VENTA DEL PROYECTO</t>
  </si>
  <si>
    <t>BENEFICIO PREVISTO DEL PROYECTO</t>
  </si>
  <si>
    <t>PUNTO DE EQUILIBRIO (Beneficio = 0)</t>
  </si>
  <si>
    <t>TOTAL GASTOS PREVISTOS</t>
  </si>
  <si>
    <t>TOTAL INGRESOS PREVISTOS</t>
  </si>
  <si>
    <t>MES</t>
  </si>
  <si>
    <t>ENERO</t>
  </si>
  <si>
    <t>TOTAL EJERCICIO</t>
  </si>
  <si>
    <t>TOTAL PRESUPUESTO</t>
  </si>
  <si>
    <t>PAGOS PERSONAL</t>
  </si>
  <si>
    <t>PAGOS GASTOS FIJOS</t>
  </si>
  <si>
    <t>PAGOS GASTOS VARIABLES PUBLIC.</t>
  </si>
  <si>
    <t>TOTAL PAGOS</t>
  </si>
  <si>
    <t>TOTAL COBROS (POR VENTAS)</t>
  </si>
  <si>
    <t>DIFERENCIA (COBROS - PAGOS)</t>
  </si>
  <si>
    <t>TESORERÍA</t>
  </si>
  <si>
    <t>RESULTADO DEL PROYECTO</t>
  </si>
  <si>
    <t>BENEFICIO</t>
  </si>
  <si>
    <t>PÓLIZA DE CRÉDITO: No necesaria — el proyecto genera beneficio positivo</t>
  </si>
  <si>
    <t>ACTIVO</t>
  </si>
  <si>
    <t>PASIVO</t>
  </si>
  <si>
    <t>SUPUESTOS / DATOS AUXILIARES</t>
  </si>
  <si>
    <t>Equipos informáticos</t>
  </si>
  <si>
    <t>Capital Social</t>
  </si>
  <si>
    <t>Equipos informáticos (unidad)</t>
  </si>
  <si>
    <t>unidad</t>
  </si>
  <si>
    <t>Caja</t>
  </si>
  <si>
    <t>Préstamo Largo Plazo</t>
  </si>
  <si>
    <t>Número de empleados</t>
  </si>
  <si>
    <t>Bancos</t>
  </si>
  <si>
    <t>Póliza crédito no dispuesto</t>
  </si>
  <si>
    <t>Número de empleados (redondear)</t>
  </si>
  <si>
    <t>Resultado del ejercicio</t>
  </si>
  <si>
    <t>Coste compra equipos por empleado</t>
  </si>
  <si>
    <t>Total coste equipos informáticos</t>
  </si>
  <si>
    <t>TOTAL ACTIVO</t>
  </si>
  <si>
    <t>TOTAL PASIVO</t>
  </si>
  <si>
    <t>¿BALANCE CUADRA?</t>
  </si>
  <si>
    <t>PRESUPUESTO</t>
  </si>
  <si>
    <t>GASTOS PERSONAL</t>
  </si>
  <si>
    <t>GASTOS FIJOS</t>
  </si>
  <si>
    <t>GASTOS VARIABLES PUBLICIDAD</t>
  </si>
  <si>
    <t>TOTAL GASTOS</t>
  </si>
  <si>
    <t>INGRESOS POR VENTAS</t>
  </si>
  <si>
    <t>BENEFICIO (INGRESOS - GASTOS)</t>
  </si>
  <si>
    <t>EXPLOTACIÓN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</si>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</sst>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12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b/>
      <sz val="11"/>
      <color rgb="FF0000FF"/>
      <name val="Arial"/>
    </font>
    <font>
      <b/>
      <sz val="11"/>
      <color rgb="FF000000"/>
      <name val="Arial"/>
    </font>
    <font>
      <i/>
      <sz val="9"/>
      <color rgb="FF7F7F7F"/>
      <name val="Arial"/>
    </font>
    <font>
      <i/>
      <sz val="10"/>
      <color rgb="FF000000"/>
      <name val="Arial"/>
    </font>
    <font>
      <b/>
      <i/>
      <sz val="10"/>
      <color rgb="FF000000"/>
      <name val="Arial"/>
    </font>
    <font>
      <b/>
      <sz val="9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0" fillId="7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0" fontId="4" fillId="7" borderId="1" xfId="0" applyFont="1" applyFill="1" applyBorder="1" applyAlignment="1">
      <alignment horizontal="left"/>
    </xf>
    <xf numFmtId="4" fontId="4" fillId="7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5" fillId="8" borderId="0" xfId="0" applyFont="1" applyFill="1" applyAlignment="1">
      <alignment horizontal="center" vertical="center"/>
    </xf>
    <xf numFmtId="164" fontId="5" fillId="8" borderId="1" xfId="0" applyNumberFormat="1" applyFont="1" applyFill="1" applyBorder="1" applyAlignment="1">
      <alignment horizontal="right" vertical="center"/>
    </xf>
    <xf numFmtId="0" fontId="1" fillId="9" borderId="0" xfId="0" applyFont="1" applyFill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right" vertical="center"/>
    </xf>
    <xf numFmtId="0" fontId="5" fillId="6" borderId="0" xfId="0" applyFont="1" applyFill="1" applyAlignment="1">
      <alignment horizontal="center" vertical="center"/>
    </xf>
    <xf numFmtId="164" fontId="7" fillId="11" borderId="1" xfId="0" applyNumberFormat="1" applyFont="1" applyFill="1" applyBorder="1" applyAlignment="1">
      <alignment horizontal="right" vertical="center"/>
    </xf>
    <xf numFmtId="0" fontId="4" fillId="11" borderId="0" xfId="0" applyFont="1" applyFill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0" xfId="0"/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164" fontId="0" fillId="7" borderId="1" xfId="0" applyNumberFormat="1" applyFill="1" applyBorder="1"/>
    <xf numFmtId="0" fontId="1" fillId="9" borderId="1" xfId="0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2" xfId="0" applyBorder="1"/>
    <xf numFmtId="0" fontId="1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/>
    </xf>
    <xf numFmtId="164" fontId="2" fillId="10" borderId="1" xfId="0" applyNumberFormat="1" applyFont="1" applyFill="1" applyBorder="1" applyAlignment="1">
      <alignment horizontal="righ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466A-B7AE-42C8-AA49-5D54641A3FBE}">
  <dimension ref="A1:D11"/>
  <sheetViews>
    <sheetView workbookViewId="0">
      <selection activeCell="F8" sqref="F8"/>
    </sheetView>
  </sheetViews>
  <sheetFormatPr baseColWidth="10" defaultRowHeight="15" x14ac:dyDescent="0.25"/>
  <cols>
    <col min="1" max="1" width="24.5703125" customWidth="1"/>
    <col min="2" max="2" width="14.140625" customWidth="1"/>
  </cols>
  <sheetData>
    <row r="1" spans="1:4" ht="25.5" x14ac:dyDescent="0.25">
      <c r="A1" s="1" t="s">
        <v>0</v>
      </c>
      <c r="B1" s="1" t="s">
        <v>1</v>
      </c>
      <c r="C1" s="1" t="s">
        <v>2</v>
      </c>
    </row>
    <row r="2" spans="1:4" x14ac:dyDescent="0.25">
      <c r="A2" s="2">
        <v>1740</v>
      </c>
      <c r="B2" s="2">
        <v>12</v>
      </c>
      <c r="C2" s="3">
        <f>A2/B2</f>
        <v>145</v>
      </c>
    </row>
    <row r="4" spans="1:4" ht="25.5" x14ac:dyDescent="0.25">
      <c r="A4" s="4" t="s">
        <v>3</v>
      </c>
      <c r="B4" s="4" t="s">
        <v>4</v>
      </c>
      <c r="C4" s="4" t="s">
        <v>5</v>
      </c>
      <c r="D4" s="4" t="s">
        <v>6</v>
      </c>
    </row>
    <row r="5" spans="1:4" x14ac:dyDescent="0.25">
      <c r="A5" s="5" t="s">
        <v>7</v>
      </c>
      <c r="B5" s="6">
        <v>2030</v>
      </c>
      <c r="C5" s="3">
        <f>C$2</f>
        <v>145</v>
      </c>
      <c r="D5" s="7">
        <f>B5/C5</f>
        <v>14</v>
      </c>
    </row>
    <row r="6" spans="1:4" x14ac:dyDescent="0.25">
      <c r="A6" s="5" t="s">
        <v>7</v>
      </c>
      <c r="B6" s="6">
        <v>2030</v>
      </c>
      <c r="C6" s="3">
        <f>C$2</f>
        <v>145</v>
      </c>
      <c r="D6" s="7">
        <f>B6/C6</f>
        <v>14</v>
      </c>
    </row>
    <row r="7" spans="1:4" x14ac:dyDescent="0.25">
      <c r="A7" s="5" t="s">
        <v>8</v>
      </c>
      <c r="B7" s="6">
        <v>2030</v>
      </c>
      <c r="C7" s="3">
        <f>C$2</f>
        <v>145</v>
      </c>
      <c r="D7" s="7">
        <f>B7/C7</f>
        <v>14</v>
      </c>
    </row>
    <row r="8" spans="1:4" x14ac:dyDescent="0.25">
      <c r="A8" s="5" t="s">
        <v>8</v>
      </c>
      <c r="B8" s="6">
        <v>2030</v>
      </c>
      <c r="C8" s="3">
        <f>C$2</f>
        <v>145</v>
      </c>
      <c r="D8" s="7">
        <f>B8/C8</f>
        <v>14</v>
      </c>
    </row>
    <row r="9" spans="1:4" x14ac:dyDescent="0.25">
      <c r="A9" s="8" t="s">
        <v>9</v>
      </c>
      <c r="B9" s="9">
        <f>SUM(B5:B8)</f>
        <v>8120</v>
      </c>
      <c r="C9" s="10"/>
      <c r="D9" s="10"/>
    </row>
    <row r="11" spans="1:4" x14ac:dyDescent="0.25">
      <c r="A11" s="11" t="s">
        <v>10</v>
      </c>
      <c r="B11" s="12"/>
      <c r="C11" s="12"/>
      <c r="D11" s="12"/>
    </row>
  </sheetData>
  <mergeCells count="1"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6700-A078-4625-8E3D-8D652DE944C1}">
  <dimension ref="A1:G38"/>
  <sheetViews>
    <sheetView workbookViewId="0">
      <selection activeCell="I26" sqref="I26"/>
    </sheetView>
  </sheetViews>
  <sheetFormatPr baseColWidth="10" defaultColWidth="9.140625" defaultRowHeight="15" x14ac:dyDescent="0.25"/>
  <cols>
    <col min="1" max="1" width="38" customWidth="1"/>
    <col min="2" max="5" width="14" customWidth="1"/>
    <col min="6" max="6" width="18" customWidth="1"/>
    <col min="7" max="7" width="20" customWidth="1"/>
  </cols>
  <sheetData>
    <row r="1" spans="1:7" ht="20.100000000000001" customHeight="1" x14ac:dyDescent="0.25">
      <c r="A1" s="13" t="s">
        <v>11</v>
      </c>
      <c r="B1" s="12"/>
      <c r="C1" s="14" t="s">
        <v>2</v>
      </c>
    </row>
    <row r="2" spans="1:7" ht="18" customHeight="1" x14ac:dyDescent="0.25">
      <c r="A2" s="15" t="s">
        <v>12</v>
      </c>
      <c r="B2" s="16">
        <v>1</v>
      </c>
      <c r="C2" s="16">
        <v>145</v>
      </c>
    </row>
    <row r="4" spans="1:7" ht="25.5" x14ac:dyDescent="0.25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</row>
    <row r="5" spans="1:7" ht="18" customHeight="1" x14ac:dyDescent="0.25">
      <c r="A5" s="5" t="s">
        <v>7</v>
      </c>
      <c r="B5" s="17">
        <v>725</v>
      </c>
      <c r="C5" s="18">
        <f>B5/C$2</f>
        <v>5</v>
      </c>
      <c r="D5" s="17">
        <v>1</v>
      </c>
      <c r="E5" s="18">
        <f>B$2</f>
        <v>1</v>
      </c>
      <c r="F5" s="6">
        <v>2030</v>
      </c>
      <c r="G5" s="7">
        <f>F5*E5*D5</f>
        <v>2030</v>
      </c>
    </row>
    <row r="6" spans="1:7" ht="18" customHeight="1" x14ac:dyDescent="0.25">
      <c r="A6" s="5" t="s">
        <v>7</v>
      </c>
      <c r="B6" s="17">
        <v>725</v>
      </c>
      <c r="C6" s="18">
        <f>B6/C$2</f>
        <v>5</v>
      </c>
      <c r="D6" s="17">
        <v>1</v>
      </c>
      <c r="E6" s="18">
        <f>B$2</f>
        <v>1</v>
      </c>
      <c r="F6" s="6">
        <v>2030</v>
      </c>
      <c r="G6" s="7">
        <f>F6*E6*D6</f>
        <v>2030</v>
      </c>
    </row>
    <row r="7" spans="1:7" ht="18" customHeight="1" x14ac:dyDescent="0.25">
      <c r="A7" s="5" t="s">
        <v>8</v>
      </c>
      <c r="B7" s="17">
        <v>725</v>
      </c>
      <c r="C7" s="18">
        <f>B7/C$2</f>
        <v>5</v>
      </c>
      <c r="D7" s="17">
        <v>1</v>
      </c>
      <c r="E7" s="18">
        <f>B$2</f>
        <v>1</v>
      </c>
      <c r="F7" s="6">
        <v>2030</v>
      </c>
      <c r="G7" s="7">
        <f>F7*E7*D7</f>
        <v>2030</v>
      </c>
    </row>
    <row r="8" spans="1:7" ht="18" customHeight="1" x14ac:dyDescent="0.25">
      <c r="A8" s="5" t="s">
        <v>8</v>
      </c>
      <c r="B8" s="17">
        <v>725</v>
      </c>
      <c r="C8" s="18">
        <f>B8/C$2</f>
        <v>5</v>
      </c>
      <c r="D8" s="17">
        <v>1</v>
      </c>
      <c r="E8" s="18">
        <f>B$2</f>
        <v>1</v>
      </c>
      <c r="F8" s="6">
        <v>2030</v>
      </c>
      <c r="G8" s="7">
        <f>F8*E8*D8</f>
        <v>2030</v>
      </c>
    </row>
    <row r="9" spans="1:7" ht="20.100000000000001" customHeight="1" x14ac:dyDescent="0.25">
      <c r="A9" s="19" t="s">
        <v>9</v>
      </c>
      <c r="B9" s="20">
        <f>SUM(B5:B8)</f>
        <v>2900</v>
      </c>
      <c r="C9" s="21"/>
      <c r="D9" s="20">
        <f>SUM(D5:D8)</f>
        <v>4</v>
      </c>
      <c r="E9" s="21"/>
      <c r="F9" s="9">
        <f>SUM(F5:F8)</f>
        <v>8120</v>
      </c>
      <c r="G9" s="9">
        <f>SUM(G5:G8)</f>
        <v>8120</v>
      </c>
    </row>
    <row r="11" spans="1:7" ht="25.5" x14ac:dyDescent="0.25">
      <c r="A11" s="4" t="s">
        <v>20</v>
      </c>
      <c r="B11" s="4" t="s">
        <v>21</v>
      </c>
      <c r="C11" s="4"/>
      <c r="D11" s="4" t="s">
        <v>17</v>
      </c>
      <c r="E11" s="4"/>
      <c r="F11" s="4"/>
      <c r="G11" s="4" t="s">
        <v>22</v>
      </c>
    </row>
    <row r="12" spans="1:7" ht="18" customHeight="1" x14ac:dyDescent="0.25">
      <c r="A12" s="5" t="s">
        <v>23</v>
      </c>
      <c r="B12" s="6">
        <v>150</v>
      </c>
      <c r="C12" s="21"/>
      <c r="D12" s="18">
        <f t="shared" ref="D12:D21" si="0">B$2</f>
        <v>1</v>
      </c>
      <c r="E12" s="21"/>
      <c r="F12" s="21"/>
      <c r="G12" s="7">
        <f t="shared" ref="G12:G21" si="1">B12*D12</f>
        <v>150</v>
      </c>
    </row>
    <row r="13" spans="1:7" ht="18" customHeight="1" x14ac:dyDescent="0.25">
      <c r="A13" s="5" t="s">
        <v>24</v>
      </c>
      <c r="B13" s="6">
        <v>250</v>
      </c>
      <c r="C13" s="21"/>
      <c r="D13" s="18">
        <f t="shared" si="0"/>
        <v>1</v>
      </c>
      <c r="E13" s="21"/>
      <c r="F13" s="21"/>
      <c r="G13" s="7">
        <f t="shared" si="1"/>
        <v>250</v>
      </c>
    </row>
    <row r="14" spans="1:7" ht="18" customHeight="1" x14ac:dyDescent="0.25">
      <c r="A14" s="5" t="s">
        <v>25</v>
      </c>
      <c r="B14" s="6">
        <v>700</v>
      </c>
      <c r="C14" s="21"/>
      <c r="D14" s="18">
        <f t="shared" si="0"/>
        <v>1</v>
      </c>
      <c r="E14" s="21"/>
      <c r="F14" s="21"/>
      <c r="G14" s="7">
        <f t="shared" si="1"/>
        <v>700</v>
      </c>
    </row>
    <row r="15" spans="1:7" ht="18" customHeight="1" x14ac:dyDescent="0.25">
      <c r="A15" s="5" t="s">
        <v>26</v>
      </c>
      <c r="B15" s="6">
        <v>200</v>
      </c>
      <c r="C15" s="21"/>
      <c r="D15" s="18">
        <f t="shared" si="0"/>
        <v>1</v>
      </c>
      <c r="E15" s="21"/>
      <c r="F15" s="21"/>
      <c r="G15" s="7">
        <f t="shared" si="1"/>
        <v>200</v>
      </c>
    </row>
    <row r="16" spans="1:7" ht="18" customHeight="1" x14ac:dyDescent="0.25">
      <c r="A16" s="5" t="s">
        <v>27</v>
      </c>
      <c r="B16" s="6">
        <v>200</v>
      </c>
      <c r="C16" s="21"/>
      <c r="D16" s="18">
        <f t="shared" si="0"/>
        <v>1</v>
      </c>
      <c r="E16" s="21"/>
      <c r="F16" s="21"/>
      <c r="G16" s="7">
        <f t="shared" si="1"/>
        <v>200</v>
      </c>
    </row>
    <row r="17" spans="1:7" ht="18" customHeight="1" x14ac:dyDescent="0.25">
      <c r="A17" s="5" t="s">
        <v>28</v>
      </c>
      <c r="B17" s="6">
        <v>100</v>
      </c>
      <c r="C17" s="21"/>
      <c r="D17" s="18">
        <f t="shared" si="0"/>
        <v>1</v>
      </c>
      <c r="E17" s="21"/>
      <c r="F17" s="21"/>
      <c r="G17" s="7">
        <f t="shared" si="1"/>
        <v>100</v>
      </c>
    </row>
    <row r="18" spans="1:7" ht="18" customHeight="1" x14ac:dyDescent="0.25">
      <c r="A18" s="5" t="s">
        <v>29</v>
      </c>
      <c r="B18" s="6">
        <v>40</v>
      </c>
      <c r="C18" s="21"/>
      <c r="D18" s="18">
        <f t="shared" si="0"/>
        <v>1</v>
      </c>
      <c r="E18" s="21"/>
      <c r="F18" s="21"/>
      <c r="G18" s="7">
        <f t="shared" si="1"/>
        <v>40</v>
      </c>
    </row>
    <row r="19" spans="1:7" ht="18" customHeight="1" x14ac:dyDescent="0.25">
      <c r="A19" s="5" t="s">
        <v>30</v>
      </c>
      <c r="B19" s="6">
        <v>30</v>
      </c>
      <c r="C19" s="21"/>
      <c r="D19" s="18">
        <f t="shared" si="0"/>
        <v>1</v>
      </c>
      <c r="E19" s="21"/>
      <c r="F19" s="21"/>
      <c r="G19" s="7">
        <f t="shared" si="1"/>
        <v>30</v>
      </c>
    </row>
    <row r="20" spans="1:7" ht="18" customHeight="1" x14ac:dyDescent="0.25">
      <c r="A20" s="5" t="s">
        <v>31</v>
      </c>
      <c r="B20" s="6">
        <v>135</v>
      </c>
      <c r="C20" s="21"/>
      <c r="D20" s="18">
        <f t="shared" si="0"/>
        <v>1</v>
      </c>
      <c r="E20" s="21"/>
      <c r="F20" s="21"/>
      <c r="G20" s="7">
        <f t="shared" si="1"/>
        <v>135</v>
      </c>
    </row>
    <row r="21" spans="1:7" ht="18" customHeight="1" x14ac:dyDescent="0.25">
      <c r="A21" s="5" t="s">
        <v>32</v>
      </c>
      <c r="B21" s="6">
        <v>600</v>
      </c>
      <c r="C21" s="21"/>
      <c r="D21" s="18">
        <f t="shared" si="0"/>
        <v>1</v>
      </c>
      <c r="E21" s="21"/>
      <c r="F21" s="21"/>
      <c r="G21" s="7">
        <f t="shared" si="1"/>
        <v>600</v>
      </c>
    </row>
    <row r="22" spans="1:7" ht="20.100000000000001" customHeight="1" x14ac:dyDescent="0.25">
      <c r="A22" s="19" t="s">
        <v>33</v>
      </c>
      <c r="B22" s="9">
        <f>SUM(B12:B21)</f>
        <v>2405</v>
      </c>
      <c r="C22" s="21"/>
      <c r="D22" s="21"/>
      <c r="E22" s="21"/>
      <c r="F22" s="21"/>
      <c r="G22" s="9">
        <f>SUM(G12:G21)</f>
        <v>2405</v>
      </c>
    </row>
    <row r="24" spans="1:7" ht="38.25" x14ac:dyDescent="0.25">
      <c r="A24" s="4" t="s">
        <v>34</v>
      </c>
      <c r="B24" s="4" t="s">
        <v>35</v>
      </c>
      <c r="C24" s="4"/>
      <c r="D24" s="4"/>
      <c r="E24" s="4" t="s">
        <v>36</v>
      </c>
      <c r="F24" s="4"/>
      <c r="G24" s="4" t="s">
        <v>37</v>
      </c>
    </row>
    <row r="25" spans="1:7" ht="18" customHeight="1" x14ac:dyDescent="0.25">
      <c r="A25" s="5" t="s">
        <v>38</v>
      </c>
      <c r="B25" s="6">
        <v>1.6</v>
      </c>
      <c r="C25" s="21"/>
      <c r="D25" s="21"/>
      <c r="E25" s="2">
        <v>5000</v>
      </c>
      <c r="F25" s="21"/>
      <c r="G25" s="7">
        <v>1100</v>
      </c>
    </row>
    <row r="26" spans="1:7" ht="18" customHeight="1" x14ac:dyDescent="0.25">
      <c r="A26" s="5" t="s">
        <v>39</v>
      </c>
      <c r="B26" s="6">
        <v>1</v>
      </c>
      <c r="C26" s="21"/>
      <c r="D26" s="21"/>
      <c r="E26" s="2">
        <v>5000</v>
      </c>
      <c r="F26" s="21"/>
      <c r="G26" s="7">
        <v>500</v>
      </c>
    </row>
    <row r="27" spans="1:7" ht="18" customHeight="1" x14ac:dyDescent="0.25">
      <c r="A27" s="5" t="s">
        <v>40</v>
      </c>
      <c r="B27" s="6">
        <v>0.8</v>
      </c>
      <c r="C27" s="21"/>
      <c r="D27" s="21"/>
      <c r="E27" s="2">
        <v>5000</v>
      </c>
      <c r="F27" s="21"/>
      <c r="G27" s="7">
        <v>400</v>
      </c>
    </row>
    <row r="28" spans="1:7" ht="20.100000000000001" customHeight="1" x14ac:dyDescent="0.25">
      <c r="A28" s="19" t="s">
        <v>41</v>
      </c>
      <c r="B28" s="9">
        <f>SUM(B25:B27)</f>
        <v>3.4000000000000004</v>
      </c>
      <c r="C28" s="21"/>
      <c r="D28" s="21"/>
      <c r="E28" s="21"/>
      <c r="F28" s="21"/>
      <c r="G28" s="9">
        <f>SUM(G25:G27)</f>
        <v>2000</v>
      </c>
    </row>
    <row r="30" spans="1:7" ht="21.95" customHeight="1" x14ac:dyDescent="0.25">
      <c r="A30" s="22" t="s">
        <v>42</v>
      </c>
      <c r="B30" s="12"/>
      <c r="C30" s="12"/>
      <c r="D30" s="12"/>
      <c r="E30" s="12"/>
      <c r="F30" s="12"/>
      <c r="G30" s="23">
        <f>G9+G22+G28</f>
        <v>12525</v>
      </c>
    </row>
    <row r="32" spans="1:7" ht="21.95" customHeight="1" x14ac:dyDescent="0.25">
      <c r="A32" s="24" t="s">
        <v>43</v>
      </c>
      <c r="B32" s="12"/>
      <c r="C32" s="12"/>
      <c r="D32" s="12"/>
      <c r="E32" s="12"/>
      <c r="F32" s="12"/>
      <c r="G32" s="25">
        <v>18500</v>
      </c>
    </row>
    <row r="34" spans="1:7" ht="21.95" customHeight="1" x14ac:dyDescent="0.25">
      <c r="A34" s="26" t="s">
        <v>44</v>
      </c>
      <c r="B34" s="12"/>
      <c r="C34" s="12"/>
      <c r="D34" s="12"/>
      <c r="E34" s="12"/>
      <c r="F34" s="12"/>
      <c r="G34" s="27">
        <f>G32-G30</f>
        <v>5975</v>
      </c>
    </row>
    <row r="36" spans="1:7" x14ac:dyDescent="0.25">
      <c r="A36" s="28" t="s">
        <v>45</v>
      </c>
      <c r="G36" s="7">
        <v>0</v>
      </c>
    </row>
    <row r="37" spans="1:7" x14ac:dyDescent="0.25">
      <c r="A37" s="15" t="s">
        <v>46</v>
      </c>
      <c r="G37" s="29">
        <f>G30</f>
        <v>12525</v>
      </c>
    </row>
    <row r="38" spans="1:7" x14ac:dyDescent="0.25">
      <c r="A38" s="15" t="s">
        <v>47</v>
      </c>
      <c r="G38" s="29">
        <f>G32</f>
        <v>18500</v>
      </c>
    </row>
  </sheetData>
  <mergeCells count="4">
    <mergeCell ref="A1:B1"/>
    <mergeCell ref="A30:F30"/>
    <mergeCell ref="A32:F32"/>
    <mergeCell ref="A34:F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0F31-20CC-49B5-8378-2627312656C1}">
  <dimension ref="A1:D12"/>
  <sheetViews>
    <sheetView workbookViewId="0">
      <selection activeCell="G6" sqref="G6"/>
    </sheetView>
  </sheetViews>
  <sheetFormatPr baseColWidth="10" defaultColWidth="9.140625" defaultRowHeight="15" x14ac:dyDescent="0.25"/>
  <cols>
    <col min="1" max="1" width="38" style="32" customWidth="1"/>
    <col min="2" max="4" width="20" style="32" customWidth="1"/>
    <col min="5" max="16384" width="9.140625" style="32"/>
  </cols>
  <sheetData>
    <row r="1" spans="1:4" ht="25.5" x14ac:dyDescent="0.25">
      <c r="A1" s="33" t="s">
        <v>48</v>
      </c>
      <c r="B1" s="34" t="s">
        <v>49</v>
      </c>
      <c r="C1" s="34" t="s">
        <v>50</v>
      </c>
      <c r="D1" s="34" t="s">
        <v>51</v>
      </c>
    </row>
    <row r="2" spans="1:4" x14ac:dyDescent="0.25">
      <c r="A2" s="35" t="s">
        <v>52</v>
      </c>
      <c r="B2" s="36">
        <v>8120</v>
      </c>
      <c r="C2" s="37">
        <f t="shared" ref="C2:C7" si="0">B2</f>
        <v>8120</v>
      </c>
      <c r="D2" s="37">
        <f t="shared" ref="D2:D7" si="1">B2</f>
        <v>8120</v>
      </c>
    </row>
    <row r="3" spans="1:4" x14ac:dyDescent="0.25">
      <c r="A3" s="35" t="s">
        <v>53</v>
      </c>
      <c r="B3" s="36">
        <v>2405</v>
      </c>
      <c r="C3" s="37">
        <f t="shared" si="0"/>
        <v>2405</v>
      </c>
      <c r="D3" s="37">
        <f t="shared" si="1"/>
        <v>2405</v>
      </c>
    </row>
    <row r="4" spans="1:4" x14ac:dyDescent="0.25">
      <c r="A4" s="35" t="s">
        <v>54</v>
      </c>
      <c r="B4" s="36">
        <v>200</v>
      </c>
      <c r="C4" s="37">
        <f t="shared" si="0"/>
        <v>200</v>
      </c>
      <c r="D4" s="37">
        <f t="shared" si="1"/>
        <v>200</v>
      </c>
    </row>
    <row r="5" spans="1:4" x14ac:dyDescent="0.25">
      <c r="A5" s="38" t="s">
        <v>55</v>
      </c>
      <c r="B5" s="39">
        <f>SUM(B2:B4)</f>
        <v>10725</v>
      </c>
      <c r="C5" s="39">
        <f t="shared" si="0"/>
        <v>10725</v>
      </c>
      <c r="D5" s="39">
        <f t="shared" si="1"/>
        <v>10725</v>
      </c>
    </row>
    <row r="6" spans="1:4" x14ac:dyDescent="0.25">
      <c r="A6" s="35" t="s">
        <v>56</v>
      </c>
      <c r="B6" s="36">
        <v>18500</v>
      </c>
      <c r="C6" s="37">
        <f t="shared" si="0"/>
        <v>18500</v>
      </c>
      <c r="D6" s="37">
        <f t="shared" si="1"/>
        <v>18500</v>
      </c>
    </row>
    <row r="7" spans="1:4" x14ac:dyDescent="0.25">
      <c r="A7" s="38" t="s">
        <v>57</v>
      </c>
      <c r="B7" s="39">
        <f>B6-B5</f>
        <v>7775</v>
      </c>
      <c r="C7" s="39">
        <f t="shared" si="0"/>
        <v>7775</v>
      </c>
      <c r="D7" s="39">
        <f t="shared" si="1"/>
        <v>7775</v>
      </c>
    </row>
    <row r="8" spans="1:4" x14ac:dyDescent="0.25">
      <c r="A8" s="38" t="s">
        <v>58</v>
      </c>
      <c r="B8" s="39">
        <f>B7</f>
        <v>7775</v>
      </c>
      <c r="C8" s="40"/>
      <c r="D8" s="40"/>
    </row>
    <row r="10" spans="1:4" x14ac:dyDescent="0.25">
      <c r="A10" s="31" t="s">
        <v>59</v>
      </c>
      <c r="B10" s="12"/>
      <c r="C10" s="41" t="s">
        <v>60</v>
      </c>
      <c r="D10" s="42">
        <f>B7</f>
        <v>7775</v>
      </c>
    </row>
    <row r="12" spans="1:4" x14ac:dyDescent="0.25">
      <c r="A12" s="30" t="s">
        <v>61</v>
      </c>
      <c r="B12" s="12"/>
      <c r="C12" s="12"/>
      <c r="D12" s="12"/>
    </row>
  </sheetData>
  <mergeCells count="2">
    <mergeCell ref="A12:D12"/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262B-00A0-434F-B504-B9DEA61F3F24}">
  <dimension ref="A1:H9"/>
  <sheetViews>
    <sheetView workbookViewId="0">
      <selection activeCell="G9" sqref="G9"/>
    </sheetView>
  </sheetViews>
  <sheetFormatPr baseColWidth="10" defaultColWidth="9.140625" defaultRowHeight="15" x14ac:dyDescent="0.25"/>
  <cols>
    <col min="1" max="1" width="28" style="32" customWidth="1"/>
    <col min="2" max="2" width="16" style="32" customWidth="1"/>
    <col min="3" max="3" width="4" style="32" customWidth="1"/>
    <col min="4" max="4" width="28" style="32" customWidth="1"/>
    <col min="5" max="5" width="16" style="32" customWidth="1"/>
    <col min="6" max="6" width="4" style="32" customWidth="1"/>
    <col min="7" max="7" width="30" style="32" customWidth="1"/>
    <col min="8" max="8" width="16" style="32" customWidth="1"/>
    <col min="9" max="16384" width="9.140625" style="32"/>
  </cols>
  <sheetData>
    <row r="1" spans="1:8" ht="26.1" customHeight="1" x14ac:dyDescent="0.25">
      <c r="A1" s="43" t="s">
        <v>62</v>
      </c>
      <c r="B1" s="44"/>
      <c r="D1" s="45" t="s">
        <v>63</v>
      </c>
      <c r="E1" s="44"/>
      <c r="G1" s="11" t="s">
        <v>64</v>
      </c>
      <c r="H1" s="44"/>
    </row>
    <row r="2" spans="1:8" ht="20.100000000000001" customHeight="1" x14ac:dyDescent="0.25">
      <c r="A2" s="35" t="s">
        <v>65</v>
      </c>
      <c r="B2" s="37">
        <f>H6</f>
        <v>3600</v>
      </c>
      <c r="D2" s="35" t="s">
        <v>66</v>
      </c>
      <c r="E2" s="36">
        <v>3000</v>
      </c>
      <c r="G2" s="46" t="s">
        <v>67</v>
      </c>
      <c r="H2" s="47" t="s">
        <v>68</v>
      </c>
    </row>
    <row r="3" spans="1:8" ht="20.100000000000001" customHeight="1" x14ac:dyDescent="0.25">
      <c r="A3" s="35" t="s">
        <v>69</v>
      </c>
      <c r="B3" s="36">
        <v>9690</v>
      </c>
      <c r="D3" s="35" t="s">
        <v>70</v>
      </c>
      <c r="E3" s="36">
        <v>3600</v>
      </c>
      <c r="G3" s="46" t="s">
        <v>71</v>
      </c>
      <c r="H3" s="48">
        <v>4</v>
      </c>
    </row>
    <row r="4" spans="1:8" ht="20.100000000000001" customHeight="1" x14ac:dyDescent="0.25">
      <c r="A4" s="35" t="s">
        <v>72</v>
      </c>
      <c r="B4" s="36">
        <v>0</v>
      </c>
      <c r="D4" s="35" t="s">
        <v>73</v>
      </c>
      <c r="E4" s="36">
        <v>0</v>
      </c>
      <c r="G4" s="46" t="s">
        <v>74</v>
      </c>
      <c r="H4" s="49">
        <f>ROUND(H3,0)</f>
        <v>4</v>
      </c>
    </row>
    <row r="5" spans="1:8" ht="20.100000000000001" customHeight="1" x14ac:dyDescent="0.25">
      <c r="A5" s="21"/>
      <c r="B5" s="21"/>
      <c r="D5" s="35" t="s">
        <v>75</v>
      </c>
      <c r="E5" s="37">
        <f>B3</f>
        <v>9690</v>
      </c>
      <c r="G5" s="46" t="s">
        <v>76</v>
      </c>
      <c r="H5" s="50">
        <v>900</v>
      </c>
    </row>
    <row r="6" spans="1:8" ht="20.100000000000001" customHeight="1" x14ac:dyDescent="0.25">
      <c r="G6" s="51" t="s">
        <v>77</v>
      </c>
      <c r="H6" s="39">
        <f>H4*H5</f>
        <v>3600</v>
      </c>
    </row>
    <row r="7" spans="1:8" ht="26.1" customHeight="1" x14ac:dyDescent="0.25">
      <c r="A7" s="52" t="s">
        <v>78</v>
      </c>
      <c r="B7" s="53">
        <f>SUM(B2:B4)</f>
        <v>13290</v>
      </c>
      <c r="D7" s="54" t="s">
        <v>79</v>
      </c>
      <c r="E7" s="23">
        <f>SUM(E2:E5)</f>
        <v>16290</v>
      </c>
    </row>
    <row r="9" spans="1:8" ht="21.95" customHeight="1" x14ac:dyDescent="0.25">
      <c r="A9" s="11" t="s">
        <v>80</v>
      </c>
      <c r="B9" s="12"/>
      <c r="D9" s="55" t="str">
        <f>IF(B7=E7,"✓ SÍ CUADRA","✗ NO CUADRA")</f>
        <v>✗ NO CUADRA</v>
      </c>
      <c r="E9" s="12"/>
    </row>
  </sheetData>
  <mergeCells count="5">
    <mergeCell ref="A1:B1"/>
    <mergeCell ref="D1:E1"/>
    <mergeCell ref="G1:H1"/>
    <mergeCell ref="A9:B9"/>
    <mergeCell ref="D9:E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D268-17AA-4C3E-8AE8-7D0BFEDAC6AA}">
  <dimension ref="A1:D12"/>
  <sheetViews>
    <sheetView workbookViewId="0">
      <selection activeCell="J15" sqref="J15"/>
    </sheetView>
  </sheetViews>
  <sheetFormatPr baseColWidth="10" defaultColWidth="9.140625" defaultRowHeight="15" x14ac:dyDescent="0.25"/>
  <cols>
    <col min="1" max="1" width="32" style="32" customWidth="1"/>
    <col min="2" max="3" width="18" style="32" customWidth="1"/>
    <col min="4" max="4" width="40.85546875" style="32" customWidth="1"/>
    <col min="5" max="16384" width="9.140625" style="32"/>
  </cols>
  <sheetData>
    <row r="1" spans="1:4" x14ac:dyDescent="0.25">
      <c r="A1" s="33" t="s">
        <v>48</v>
      </c>
      <c r="B1" s="34" t="s">
        <v>49</v>
      </c>
      <c r="C1" s="34" t="s">
        <v>50</v>
      </c>
      <c r="D1" s="33" t="s">
        <v>48</v>
      </c>
    </row>
    <row r="2" spans="1:4" x14ac:dyDescent="0.25">
      <c r="A2" s="21"/>
      <c r="B2" s="56" t="s">
        <v>81</v>
      </c>
      <c r="C2" s="56" t="s">
        <v>81</v>
      </c>
      <c r="D2" s="21"/>
    </row>
    <row r="3" spans="1:4" ht="20.100000000000001" customHeight="1" x14ac:dyDescent="0.25">
      <c r="A3" s="35" t="s">
        <v>82</v>
      </c>
      <c r="B3" s="36">
        <v>8120</v>
      </c>
      <c r="C3" s="37">
        <f>B3</f>
        <v>8120</v>
      </c>
      <c r="D3" s="35" t="s">
        <v>82</v>
      </c>
    </row>
    <row r="4" spans="1:4" ht="20.100000000000001" customHeight="1" x14ac:dyDescent="0.25">
      <c r="A4" s="35" t="s">
        <v>83</v>
      </c>
      <c r="B4" s="36">
        <v>2405</v>
      </c>
      <c r="C4" s="37">
        <f>B4</f>
        <v>2405</v>
      </c>
      <c r="D4" s="35" t="s">
        <v>83</v>
      </c>
    </row>
    <row r="5" spans="1:4" ht="20.100000000000001" customHeight="1" x14ac:dyDescent="0.25">
      <c r="A5" s="35" t="s">
        <v>84</v>
      </c>
      <c r="B5" s="36">
        <v>2000</v>
      </c>
      <c r="C5" s="37">
        <f>B5</f>
        <v>2000</v>
      </c>
      <c r="D5" s="35" t="s">
        <v>84</v>
      </c>
    </row>
    <row r="6" spans="1:4" ht="21.95" customHeight="1" x14ac:dyDescent="0.25">
      <c r="A6" s="38" t="s">
        <v>85</v>
      </c>
      <c r="B6" s="39">
        <f>SUM(B3:B5)</f>
        <v>12525</v>
      </c>
      <c r="C6" s="39">
        <f>SUM(C3:C5)</f>
        <v>12525</v>
      </c>
      <c r="D6" s="38" t="s">
        <v>85</v>
      </c>
    </row>
    <row r="7" spans="1:4" ht="8.1" customHeight="1" x14ac:dyDescent="0.25">
      <c r="A7" s="21"/>
      <c r="B7" s="21"/>
      <c r="C7" s="21"/>
      <c r="D7" s="21"/>
    </row>
    <row r="8" spans="1:4" ht="20.100000000000001" customHeight="1" x14ac:dyDescent="0.25">
      <c r="A8" s="57" t="s">
        <v>86</v>
      </c>
      <c r="B8" s="58">
        <v>18500</v>
      </c>
      <c r="C8" s="59">
        <f>B8</f>
        <v>18500</v>
      </c>
      <c r="D8" s="57" t="s">
        <v>86</v>
      </c>
    </row>
    <row r="9" spans="1:4" ht="8.1" customHeight="1" x14ac:dyDescent="0.25">
      <c r="A9" s="21"/>
      <c r="B9" s="21"/>
      <c r="C9" s="21"/>
      <c r="D9" s="21"/>
    </row>
    <row r="10" spans="1:4" ht="26.1" customHeight="1" x14ac:dyDescent="0.25">
      <c r="A10" s="60" t="s">
        <v>87</v>
      </c>
      <c r="B10" s="61">
        <f>B8-B6</f>
        <v>5975</v>
      </c>
      <c r="C10" s="61">
        <f>C8-C6</f>
        <v>5975</v>
      </c>
      <c r="D10" s="60" t="s">
        <v>87</v>
      </c>
    </row>
    <row r="12" spans="1:4" ht="21.95" customHeight="1" x14ac:dyDescent="0.25">
      <c r="A12" s="62" t="str">
        <f>IF(B10&gt;0,"✓ Proyecto RENTABLE — Margen: "&amp;TEXT(B10/B8*100,"0.0")&amp;"%","✗ Proyecto NO rentable con estos datos")</f>
        <v>✓ Proyecto RENTABLE — Margen: 32%</v>
      </c>
      <c r="B12" s="12"/>
      <c r="C12" s="12"/>
      <c r="D12" s="12"/>
    </row>
  </sheetData>
  <mergeCells count="1">
    <mergeCell ref="A12:D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BAE4-0F37-4F87-AED7-FB291BC6AB9C}">
  <dimension ref="A1:H10"/>
  <sheetViews>
    <sheetView tabSelected="1" workbookViewId="0">
      <selection activeCell="G19" sqref="G19"/>
    </sheetView>
  </sheetViews>
  <sheetFormatPr baseColWidth="10" defaultColWidth="9.140625" defaultRowHeight="15" x14ac:dyDescent="0.25"/>
  <cols>
    <col min="1" max="1" width="30" style="32" customWidth="1"/>
    <col min="2" max="3" width="16" style="32" customWidth="1"/>
    <col min="4" max="4" width="14" style="32" customWidth="1"/>
    <col min="5" max="6" width="16" style="32" customWidth="1"/>
    <col min="7" max="7" width="14" style="32" customWidth="1"/>
    <col min="8" max="8" width="28" style="32" customWidth="1"/>
    <col min="9" max="16384" width="9.140625" style="32"/>
  </cols>
  <sheetData>
    <row r="1" spans="1:8" ht="26.1" customHeight="1" x14ac:dyDescent="0.25">
      <c r="A1" s="33" t="s">
        <v>48</v>
      </c>
      <c r="B1" s="43" t="s">
        <v>49</v>
      </c>
      <c r="C1" s="12"/>
      <c r="D1" s="12"/>
      <c r="E1" s="43" t="s">
        <v>50</v>
      </c>
      <c r="F1" s="12"/>
      <c r="G1" s="12"/>
      <c r="H1" s="33" t="s">
        <v>48</v>
      </c>
    </row>
    <row r="2" spans="1:8" ht="20.100000000000001" customHeight="1" x14ac:dyDescent="0.25">
      <c r="A2" s="21"/>
      <c r="B2" s="63" t="s">
        <v>81</v>
      </c>
      <c r="C2" s="64" t="s">
        <v>88</v>
      </c>
      <c r="D2" s="65" t="s">
        <v>89</v>
      </c>
      <c r="E2" s="63" t="s">
        <v>81</v>
      </c>
      <c r="F2" s="64" t="s">
        <v>88</v>
      </c>
      <c r="G2" s="65" t="s">
        <v>89</v>
      </c>
      <c r="H2" s="21"/>
    </row>
    <row r="3" spans="1:8" ht="20.100000000000001" customHeight="1" x14ac:dyDescent="0.25">
      <c r="A3" s="35" t="s">
        <v>82</v>
      </c>
      <c r="B3" s="36">
        <v>8120</v>
      </c>
      <c r="C3" s="66">
        <f>B3</f>
        <v>8120</v>
      </c>
      <c r="D3" s="67">
        <f>C3-B3</f>
        <v>0</v>
      </c>
      <c r="E3" s="37">
        <f t="shared" ref="E3:G5" si="0">B3</f>
        <v>8120</v>
      </c>
      <c r="F3" s="66">
        <f t="shared" si="0"/>
        <v>8120</v>
      </c>
      <c r="G3" s="67">
        <f t="shared" si="0"/>
        <v>0</v>
      </c>
      <c r="H3" s="35" t="s">
        <v>82</v>
      </c>
    </row>
    <row r="4" spans="1:8" ht="20.100000000000001" customHeight="1" x14ac:dyDescent="0.25">
      <c r="A4" s="35" t="s">
        <v>83</v>
      </c>
      <c r="B4" s="36">
        <v>2405</v>
      </c>
      <c r="C4" s="66">
        <f>B4</f>
        <v>2405</v>
      </c>
      <c r="D4" s="67">
        <f>C4-B4</f>
        <v>0</v>
      </c>
      <c r="E4" s="37">
        <f t="shared" si="0"/>
        <v>2405</v>
      </c>
      <c r="F4" s="66">
        <f t="shared" si="0"/>
        <v>2405</v>
      </c>
      <c r="G4" s="67">
        <f t="shared" si="0"/>
        <v>0</v>
      </c>
      <c r="H4" s="35" t="s">
        <v>83</v>
      </c>
    </row>
    <row r="5" spans="1:8" ht="20.100000000000001" customHeight="1" x14ac:dyDescent="0.25">
      <c r="A5" s="35" t="s">
        <v>84</v>
      </c>
      <c r="B5" s="36">
        <v>2000</v>
      </c>
      <c r="C5" s="66">
        <f>B5</f>
        <v>2000</v>
      </c>
      <c r="D5" s="67">
        <f>C5-B5</f>
        <v>0</v>
      </c>
      <c r="E5" s="37">
        <f t="shared" si="0"/>
        <v>2000</v>
      </c>
      <c r="F5" s="66">
        <f t="shared" si="0"/>
        <v>2000</v>
      </c>
      <c r="G5" s="67">
        <f t="shared" si="0"/>
        <v>0</v>
      </c>
      <c r="H5" s="35" t="s">
        <v>84</v>
      </c>
    </row>
    <row r="6" spans="1:8" ht="21.95" customHeight="1" x14ac:dyDescent="0.25">
      <c r="A6" s="38" t="s">
        <v>85</v>
      </c>
      <c r="B6" s="39">
        <f t="shared" ref="B6:G6" si="1">SUM(B3:B5)</f>
        <v>12525</v>
      </c>
      <c r="C6" s="39">
        <f t="shared" si="1"/>
        <v>12525</v>
      </c>
      <c r="D6" s="39">
        <f t="shared" si="1"/>
        <v>0</v>
      </c>
      <c r="E6" s="39">
        <f t="shared" si="1"/>
        <v>12525</v>
      </c>
      <c r="F6" s="39">
        <f t="shared" si="1"/>
        <v>12525</v>
      </c>
      <c r="G6" s="39">
        <f t="shared" si="1"/>
        <v>0</v>
      </c>
      <c r="H6" s="38" t="s">
        <v>85</v>
      </c>
    </row>
    <row r="7" spans="1:8" ht="8.1" customHeight="1" x14ac:dyDescent="0.25">
      <c r="A7" s="21"/>
      <c r="B7" s="21"/>
      <c r="C7" s="21"/>
      <c r="D7" s="21"/>
      <c r="E7" s="21"/>
      <c r="F7" s="21"/>
      <c r="G7" s="21"/>
      <c r="H7" s="21"/>
    </row>
    <row r="8" spans="1:8" ht="20.100000000000001" customHeight="1" x14ac:dyDescent="0.25">
      <c r="A8" s="57" t="s">
        <v>86</v>
      </c>
      <c r="B8" s="58">
        <v>18500</v>
      </c>
      <c r="C8" s="66">
        <f>B8</f>
        <v>18500</v>
      </c>
      <c r="D8" s="67">
        <f>C8-B8</f>
        <v>0</v>
      </c>
      <c r="E8" s="59">
        <f>B8</f>
        <v>18500</v>
      </c>
      <c r="F8" s="66">
        <f>C8</f>
        <v>18500</v>
      </c>
      <c r="G8" s="67">
        <f>D8</f>
        <v>0</v>
      </c>
      <c r="H8" s="57" t="s">
        <v>86</v>
      </c>
    </row>
    <row r="9" spans="1:8" ht="8.1" customHeight="1" x14ac:dyDescent="0.25">
      <c r="A9" s="21"/>
      <c r="B9" s="21"/>
      <c r="C9" s="21"/>
      <c r="D9" s="21"/>
      <c r="E9" s="21"/>
      <c r="F9" s="21"/>
      <c r="G9" s="21"/>
      <c r="H9" s="21"/>
    </row>
    <row r="10" spans="1:8" ht="26.1" customHeight="1" x14ac:dyDescent="0.25">
      <c r="A10" s="60" t="s">
        <v>87</v>
      </c>
      <c r="B10" s="61">
        <f>B8-B6</f>
        <v>5975</v>
      </c>
      <c r="C10" s="61">
        <f>C8-C6</f>
        <v>5975</v>
      </c>
      <c r="D10" s="61">
        <f>C10-B10</f>
        <v>0</v>
      </c>
      <c r="E10" s="61">
        <f>E8-E6</f>
        <v>5975</v>
      </c>
      <c r="F10" s="61">
        <f>F8-F6</f>
        <v>5975</v>
      </c>
      <c r="G10" s="61">
        <f>F10-E10</f>
        <v>0</v>
      </c>
      <c r="H10" s="60" t="s">
        <v>87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Plantilla Personal</vt:lpstr>
      <vt:lpstr>Plantilla Presupuesto</vt:lpstr>
      <vt:lpstr>Plantilla Tesorería</vt:lpstr>
      <vt:lpstr>Plantilla Balance</vt:lpstr>
      <vt:lpstr>Presupuesto Anual</vt:lpstr>
      <vt:lpstr>Presupuesto + Cuenta EXPLOTACIÓ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MARIN CARRERAS</dc:creator>
  <cp:lastModifiedBy>OSCAR MARIN CARRERAS</cp:lastModifiedBy>
  <dcterms:created xsi:type="dcterms:W3CDTF">2026-02-20T11:07:28Z</dcterms:created>
  <dcterms:modified xsi:type="dcterms:W3CDTF">2026-02-20T11:18:40Z</dcterms:modified>
</cp:coreProperties>
</file>